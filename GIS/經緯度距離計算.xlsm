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Ellican Gio\Desktop\"/>
    </mc:Choice>
  </mc:AlternateContent>
  <xr:revisionPtr revIDLastSave="0" documentId="13_ncr:1_{3BAEE2C9-75EF-4FCF-B91D-8A3AFE828B61}" xr6:coauthVersionLast="47" xr6:coauthVersionMax="47" xr10:uidLastSave="{00000000-0000-0000-0000-000000000000}"/>
  <bookViews>
    <workbookView xWindow="-108" yWindow="-108" windowWidth="23256" windowHeight="12456" xr2:uid="{D587F028-61BD-41AF-9AA1-749FCABA9624}"/>
  </bookViews>
  <sheets>
    <sheet name="工作表1" sheetId="1" r:id="rId1"/>
  </sheets>
  <functionGroups builtInGroupCount="19">
    <functionGroup name="Commands"/>
  </functionGroup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G12" i="1" l="1"/>
  <c r="G11" i="1"/>
  <c r="G10" i="1"/>
  <c r="G5" i="1"/>
  <c r="G4" i="1"/>
  <c r="G3" i="1"/>
</calcChain>
</file>

<file path=xl/sharedStrings.xml><?xml version="1.0" encoding="utf-8"?>
<sst xmlns="http://schemas.openxmlformats.org/spreadsheetml/2006/main" count="26" uniqueCount="19">
  <si>
    <t>Vincenty Direct Calculation</t>
    <phoneticPr fontId="1" type="noConversion"/>
  </si>
  <si>
    <t>Input: point 1, distance, azimuth</t>
    <phoneticPr fontId="1" type="noConversion"/>
  </si>
  <si>
    <t>Flinders Peak</t>
    <phoneticPr fontId="1" type="noConversion"/>
  </si>
  <si>
    <t>Distance (m)</t>
    <phoneticPr fontId="1" type="noConversion"/>
  </si>
  <si>
    <t>Azimuth</t>
    <phoneticPr fontId="1" type="noConversion"/>
  </si>
  <si>
    <t>Result: point 2, reverse azimuth</t>
    <phoneticPr fontId="1" type="noConversion"/>
  </si>
  <si>
    <t>latitude</t>
    <phoneticPr fontId="1" type="noConversion"/>
  </si>
  <si>
    <t>longitude</t>
    <phoneticPr fontId="1" type="noConversion"/>
  </si>
  <si>
    <t>Reverse Azimuth</t>
    <phoneticPr fontId="1" type="noConversion"/>
  </si>
  <si>
    <t>Vincenty Inverse Calculation</t>
    <phoneticPr fontId="1" type="noConversion"/>
  </si>
  <si>
    <t>Input: point 1, point 2</t>
    <phoneticPr fontId="1" type="noConversion"/>
  </si>
  <si>
    <t>Result: distance, foward azimuth, reverse azimuth</t>
    <phoneticPr fontId="1" type="noConversion"/>
  </si>
  <si>
    <t>Buninyong</t>
    <phoneticPr fontId="1" type="noConversion"/>
  </si>
  <si>
    <t>Forward Azimuth</t>
    <phoneticPr fontId="1" type="noConversion"/>
  </si>
  <si>
    <t>lat1</t>
    <phoneticPr fontId="1" type="noConversion"/>
  </si>
  <si>
    <t>lat2</t>
    <phoneticPr fontId="1" type="noConversion"/>
  </si>
  <si>
    <t>lon1</t>
    <phoneticPr fontId="1" type="noConversion"/>
  </si>
  <si>
    <t>lon2</t>
    <phoneticPr fontId="1" type="noConversion"/>
  </si>
  <si>
    <r>
      <t>37</t>
    </r>
    <r>
      <rPr>
        <sz val="12"/>
        <color theme="1"/>
        <rFont val="新細明體"/>
        <family val="3"/>
        <charset val="136"/>
      </rPr>
      <t xml:space="preserve"> </t>
    </r>
    <r>
      <rPr>
        <sz val="12"/>
        <color theme="1"/>
        <rFont val="新細明體"/>
        <family val="2"/>
        <charset val="136"/>
        <scheme val="minor"/>
      </rPr>
      <t>57 37.7203 S</t>
    </r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</si>
</sst>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 x14ac:knownFonts="1">
    <font>
      <sz val="12"/>
      <color theme="1"/>
      <name val="新細明體"/>
      <family val="2"/>
      <charset val="136"/>
      <scheme val="minor"/>
    </font>
    <font>
      <sz val="9"/>
      <name val="新細明體"/>
      <family val="2"/>
      <charset val="136"/>
      <scheme val="minor"/>
    </font>
    <font>
      <b/>
      <sz val="12"/>
      <color theme="1"/>
      <name val="新細明體"/>
      <family val="1"/>
      <charset val="136"/>
      <scheme val="minor"/>
    </font>
    <font>
      <b/>
      <sz val="14"/>
      <color theme="0"/>
      <name val="新細明體"/>
      <family val="1"/>
      <charset val="136"/>
      <scheme val="minor"/>
    </font>
    <font>
      <sz val="14"/>
      <color theme="0"/>
      <name val="新細明體"/>
      <family val="1"/>
      <charset val="136"/>
      <scheme val="minor"/>
    </font>
    <font>
      <sz val="12"/>
      <color theme="3"/>
      <name val="新細明體"/>
      <family val="2"/>
      <charset val="136"/>
      <scheme val="minor"/>
    </font>
    <font>
      <sz val="12"/>
      <color theme="1"/>
      <name val="新細明體"/>
      <family val="3"/>
      <charset val="136"/>
    </font>
  </fonts>
  <fills count="5">
    <fill>
      <patternFill patternType="none"/>
    </fill>
    <fill>
      <patternFill patternType="gray125"/>
    </fill>
    <fill>
      <patternFill patternType="solid">
        <fgColor rgb="FF00000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10">
    <xf numFmtId="0" fontId="0" fillId="0" borderId="0" xfId="0">
      <alignment vertical="center"/>
    </xf>
    <xf numFmtId="0" fontId="0" fillId="0" borderId="0" xfId="0" applyAlignment="1">
      <alignment vertical="center"/>
    </xf>
    <xf numFmtId="0" fontId="3" fillId="2" borderId="0" xfId="0" applyFont="1" applyFill="1" applyAlignment="1">
      <alignment vertical="center"/>
    </xf>
    <xf numFmtId="0" fontId="4" fillId="2" borderId="0" xfId="0" applyFont="1" applyFill="1">
      <alignment vertical="center"/>
    </xf>
    <xf numFmtId="0" fontId="0" fillId="3" borderId="1" xfId="0" applyFill="1" applyBorder="1" applyAlignment="1">
      <alignment vertical="center"/>
    </xf>
    <xf numFmtId="0" fontId="0" fillId="3" borderId="1" xfId="0" applyFill="1" applyBorder="1">
      <alignment vertical="center"/>
    </xf>
    <xf numFmtId="0" fontId="2" fillId="0" borderId="0" xfId="0" applyFont="1" applyAlignment="1">
      <alignment vertical="center"/>
    </xf>
    <xf numFmtId="0" fontId="5" fillId="4" borderId="1" xfId="0" applyFont="1" applyFill="1" applyBorder="1">
      <alignment vertical="center"/>
    </xf>
    <xf numFmtId="0" fontId="0" fillId="4" borderId="1" xfId="0" applyFill="1" applyBorder="1">
      <alignment vertical="center"/>
    </xf>
    <xf numFmtId="0" fontId="0" fillId="3" borderId="1" xfId="0" applyFill="1" applyBorder="1" applyAlignment="1">
      <alignment vertical="center" wrapText="1"/>
    </xf>
  </cellXfs>
  <cellStyles count="1">
    <cellStyle name="一般" xfId="0" builtinId="0"/>
  </cellStyles>
  <dxfs count="0"/>
  <tableStyles count="0" defaultTableStyle="TableStyleMedium2" defaultPivotStyle="PivotStyleLight16"/>
  <colors>
    <mruColors>
      <color rgb="FF00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1FF667-740B-4DB3-A490-F8BBA57E9F75}">
  <sheetPr codeName="工作表1"/>
  <dimension ref="A1:I13"/>
  <sheetViews>
    <sheetView tabSelected="1" workbookViewId="0">
      <selection activeCell="H10" sqref="H10"/>
    </sheetView>
  </sheetViews>
  <sheetFormatPr defaultRowHeight="16.2" x14ac:dyDescent="0.3"/>
  <cols>
    <col min="1" max="1" width="12.77734375" bestFit="1" customWidth="1"/>
    <col min="2" max="2" width="18.33203125" customWidth="1"/>
    <col min="5" max="5" width="9.6640625" bestFit="1" customWidth="1"/>
    <col min="6" max="6" width="16.44140625" bestFit="1" customWidth="1"/>
    <col min="7" max="7" width="13.88671875" customWidth="1"/>
  </cols>
  <sheetData>
    <row r="1" spans="1:9" s="3" customFormat="1" ht="19.8" x14ac:dyDescent="0.3">
      <c r="A1" s="2" t="s">
        <v>0</v>
      </c>
      <c r="B1" s="2"/>
    </row>
    <row r="2" spans="1:9" s="6" customFormat="1" x14ac:dyDescent="0.3">
      <c r="A2" s="6" t="s">
        <v>1</v>
      </c>
      <c r="F2" s="6" t="s">
        <v>5</v>
      </c>
      <c r="G2" s="1"/>
    </row>
    <row r="3" spans="1:9" x14ac:dyDescent="0.3">
      <c r="A3" s="4" t="s">
        <v>2</v>
      </c>
      <c r="B3" s="9" t="s">
        <v>18</v>
      </c>
      <c r="C3" t="s">
        <v>14</v>
      </c>
      <c r="D3" s="5">
        <v>-37.951000000000001</v>
      </c>
      <c r="F3" s="7" t="s">
        <v>6</v>
      </c>
      <c r="G3" s="8">
        <f>VincentyDirLat(D3,D4,B6,B5)</f>
        <v>-37.652787441540227</v>
      </c>
      <c r="H3" t="s">
        <v>15</v>
      </c>
      <c r="I3" s="8"/>
    </row>
    <row r="4" spans="1:9" x14ac:dyDescent="0.3">
      <c r="A4" s="4"/>
      <c r="B4" s="5"/>
      <c r="C4" t="s">
        <v>16</v>
      </c>
      <c r="D4" s="5">
        <v>144.42490000000001</v>
      </c>
      <c r="F4" s="8" t="s">
        <v>7</v>
      </c>
      <c r="G4" s="8">
        <f>VincentyDirLon(D3,D4,B6,B5)</f>
        <v>143.92652813148891</v>
      </c>
      <c r="H4" t="s">
        <v>17</v>
      </c>
      <c r="I4" s="8"/>
    </row>
    <row r="5" spans="1:9" x14ac:dyDescent="0.3">
      <c r="A5" s="5" t="s">
        <v>3</v>
      </c>
      <c r="B5" s="5">
        <v>54972.271000000001</v>
      </c>
      <c r="F5" s="8" t="s">
        <v>8</v>
      </c>
      <c r="G5" s="8">
        <f>VincentyDirRevAzimuth(D3,D4,B6,B5,1)</f>
        <v>127.17367089357846</v>
      </c>
    </row>
    <row r="6" spans="1:9" x14ac:dyDescent="0.3">
      <c r="A6" s="5" t="s">
        <v>4</v>
      </c>
      <c r="B6" s="5">
        <v>306.8682</v>
      </c>
    </row>
    <row r="8" spans="1:9" s="3" customFormat="1" ht="19.8" x14ac:dyDescent="0.3">
      <c r="A8" s="2" t="s">
        <v>9</v>
      </c>
      <c r="B8" s="2"/>
    </row>
    <row r="9" spans="1:9" x14ac:dyDescent="0.3">
      <c r="A9" s="6" t="s">
        <v>10</v>
      </c>
      <c r="F9" s="6" t="s">
        <v>11</v>
      </c>
    </row>
    <row r="10" spans="1:9" x14ac:dyDescent="0.3">
      <c r="A10" s="4" t="s">
        <v>2</v>
      </c>
      <c r="B10" s="5"/>
      <c r="C10" t="s">
        <v>14</v>
      </c>
      <c r="D10" s="5">
        <v>40.712780000000002</v>
      </c>
      <c r="F10" s="8" t="s">
        <v>3</v>
      </c>
      <c r="G10" s="8">
        <f>VincentyInvDistance(D10,D11,D12,D13)</f>
        <v>2592386.9207677082</v>
      </c>
    </row>
    <row r="11" spans="1:9" x14ac:dyDescent="0.3">
      <c r="A11" s="4"/>
      <c r="B11" s="5"/>
      <c r="C11" t="s">
        <v>16</v>
      </c>
      <c r="D11" s="5">
        <v>-74.005970000000005</v>
      </c>
      <c r="F11" s="8" t="s">
        <v>13</v>
      </c>
      <c r="G11" s="8">
        <f>VincentyInvFwdAzimuth(D10,D11,D12,D13)</f>
        <v>161.92696967840999</v>
      </c>
    </row>
    <row r="12" spans="1:9" x14ac:dyDescent="0.3">
      <c r="A12" s="4" t="s">
        <v>12</v>
      </c>
      <c r="B12" s="5"/>
      <c r="C12" t="s">
        <v>15</v>
      </c>
      <c r="D12" s="5">
        <v>18.220800000000001</v>
      </c>
      <c r="F12" s="8" t="s">
        <v>8</v>
      </c>
      <c r="G12" s="8">
        <f>VincentyInvRevAzimuth(D10,D11,D12,D13,1)</f>
        <v>345.65053852169149</v>
      </c>
    </row>
    <row r="13" spans="1:9" x14ac:dyDescent="0.3">
      <c r="A13" s="4"/>
      <c r="B13" s="5"/>
      <c r="C13" t="s">
        <v>17</v>
      </c>
      <c r="D13" s="5">
        <v>-66.590100000000007</v>
      </c>
    </row>
  </sheetData>
  <mergeCells count="5">
    <mergeCell ref="A10:A11"/>
    <mergeCell ref="A12:A13"/>
    <mergeCell ref="A1:B1"/>
    <mergeCell ref="A3:A4"/>
    <mergeCell ref="A8:B8"/>
  </mergeCells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工作表1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Edward Chang</dc:creator>
  <cp:lastModifiedBy>Edward Chang</cp:lastModifiedBy>
  <dcterms:created xsi:type="dcterms:W3CDTF">2025-09-26T07:22:41Z</dcterms:created>
  <dcterms:modified xsi:type="dcterms:W3CDTF">2025-09-26T08:49:34Z</dcterms:modified>
</cp:coreProperties>
</file>